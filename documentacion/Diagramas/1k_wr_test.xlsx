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tTf\Downloads\"/>
    </mc:Choice>
  </mc:AlternateContent>
  <xr:revisionPtr revIDLastSave="0" documentId="13_ncr:1_{8BE1A9FA-77D6-400A-84CB-67BC33C15E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2" r:id="rId1"/>
    <sheet name="1k_wr_test.csv" sheetId="1" r:id="rId2"/>
    <sheet name="Degradación" sheetId="4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A4" i="4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</calcChain>
</file>

<file path=xl/sharedStrings.xml><?xml version="1.0" encoding="utf-8"?>
<sst xmlns="http://schemas.openxmlformats.org/spreadsheetml/2006/main" count="40" uniqueCount="37">
  <si>
    <t>nivel</t>
  </si>
  <si>
    <t>hilos_total</t>
  </si>
  <si>
    <t>hilos_lectura</t>
  </si>
  <si>
    <t>hilos_escritura</t>
  </si>
  <si>
    <t>lec_requests</t>
  </si>
  <si>
    <t>lec_exitosos</t>
  </si>
  <si>
    <t>lec_errores</t>
  </si>
  <si>
    <t>lec_error_%</t>
  </si>
  <si>
    <t>lec_avg_paginas</t>
  </si>
  <si>
    <t>lec_promedio_ms</t>
  </si>
  <si>
    <t>lec_mediana_ms</t>
  </si>
  <si>
    <t>lec_p95_ms</t>
  </si>
  <si>
    <t>lec_min_ms</t>
  </si>
  <si>
    <t>lec_max_ms</t>
  </si>
  <si>
    <t>esc_requests</t>
  </si>
  <si>
    <t>esc_exitosos</t>
  </si>
  <si>
    <t>esc_errores</t>
  </si>
  <si>
    <t>esc_error_%</t>
  </si>
  <si>
    <t>esc_promedio_ms</t>
  </si>
  <si>
    <t>esc_mediana_ms</t>
  </si>
  <si>
    <t>esc_p95_ms</t>
  </si>
  <si>
    <t>esc_min_ms</t>
  </si>
  <si>
    <t>esc_max_ms</t>
  </si>
  <si>
    <t>duracion_total_s</t>
  </si>
  <si>
    <t>Grand Total</t>
  </si>
  <si>
    <t>Concurrencia</t>
  </si>
  <si>
    <t>Sum of hilos_lectura</t>
  </si>
  <si>
    <t>Sum of hilos_escritura</t>
  </si>
  <si>
    <t>Análisis de Degradación del Sistema – 1.000 Peticiones Concurrentes (500 Lectura / 500 Escritura)</t>
  </si>
  <si>
    <t>Hilos Concurrentes</t>
  </si>
  <si>
    <t>Lat. Media Lectura (ms)</t>
  </si>
  <si>
    <t>Lat. Media Escritura (ms)</t>
  </si>
  <si>
    <t>P95 Lectura (ms)</t>
  </si>
  <si>
    <t>P95 Escritura (ms)</t>
  </si>
  <si>
    <t>Error Lectura (%)</t>
  </si>
  <si>
    <t>Error Escritura (%)</t>
  </si>
  <si>
    <t>⚠  Sistema bajo degradación severa a partir de 800 hilos – error escritura supera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</si>
</sst>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rgb="FF1F3864"/>
      <name val="Arial"/>
      <scheme val="minor"/>
    </font>
    <font>
      <b/>
      <sz val="10"/>
      <color rgb="FFFFFFFF"/>
      <name val="Arial"/>
      <scheme val="minor"/>
    </font>
    <font>
      <b/>
      <sz val="10"/>
      <color rgb="FFC00000"/>
      <name val="Arial"/>
      <scheme val="minor"/>
    </font>
    <font>
      <i/>
      <sz val="10"/>
      <color rgb="FFC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43C0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3" borderId="0" xfId="0" applyNumberForma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5" fillId="0" borderId="0" xfId="0" applyFon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[1k_wr_test.csv.xlsx]Sheet1!PivotTable1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hilos_escritura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19-4C39-8984-7CAD3B40B96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hilos_lectura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19-4C39-8984-7CAD3B40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865696"/>
        <c:axId val="641856576"/>
      </c:lineChart>
      <c:catAx>
        <c:axId val="6418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41856576"/>
        <c:crosses val="autoZero"/>
        <c:auto val="1"/>
        <c:lblAlgn val="ctr"/>
        <c:lblOffset val="100"/>
        <c:noMultiLvlLbl val="0"/>
      </c:catAx>
      <c:valAx>
        <c:axId val="64185657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4186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Degradación de Latencia vs. Concurrencia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Degradación!$B$3</c:f>
              <c:strCache>
                <c:ptCount val="1"/>
                <c:pt idx="0">
                  <c:v>Lat. Media Lectura (ms)</c:v>
                </c:pt>
              </c:strCache>
            </c:strRef>
          </c:tx>
          <c:spPr>
            <a:ln w="31750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Degradación!$A$4:$A$13</c:f>
              <c:numCache>
                <c:formatCode>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Degradación!$B$4:$B$13</c:f>
              <c:numCache>
                <c:formatCode>#,##0</c:formatCode>
                <c:ptCount val="10"/>
                <c:pt idx="0">
                  <c:v>699.1</c:v>
                </c:pt>
                <c:pt idx="1">
                  <c:v>1413.2</c:v>
                </c:pt>
                <c:pt idx="2">
                  <c:v>1798.6</c:v>
                </c:pt>
                <c:pt idx="3">
                  <c:v>2543.8000000000002</c:v>
                </c:pt>
                <c:pt idx="4">
                  <c:v>3397.7</c:v>
                </c:pt>
                <c:pt idx="5">
                  <c:v>3911.1</c:v>
                </c:pt>
                <c:pt idx="6">
                  <c:v>4540</c:v>
                </c:pt>
                <c:pt idx="7">
                  <c:v>4886.1000000000004</c:v>
                </c:pt>
                <c:pt idx="8">
                  <c:v>5012.6000000000004</c:v>
                </c:pt>
                <c:pt idx="9">
                  <c:v>5070.8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4-4D6D-99AE-B61D795F1236}"/>
            </c:ext>
          </c:extLst>
        </c:ser>
        <c:ser>
          <c:idx val="1"/>
          <c:order val="1"/>
          <c:tx>
            <c:strRef>
              <c:f>Degradación!$C$3</c:f>
              <c:strCache>
                <c:ptCount val="1"/>
                <c:pt idx="0">
                  <c:v>Lat. Media Escritura (ms)</c:v>
                </c:pt>
              </c:strCache>
            </c:strRef>
          </c:tx>
          <c:spPr>
            <a:ln w="3175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Degradación!$A$4:$A$13</c:f>
              <c:numCache>
                <c:formatCode>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Degradación!$C$4:$C$13</c:f>
              <c:numCache>
                <c:formatCode>#,##0</c:formatCode>
                <c:ptCount val="10"/>
                <c:pt idx="0">
                  <c:v>1356.8</c:v>
                </c:pt>
                <c:pt idx="1">
                  <c:v>2075</c:v>
                </c:pt>
                <c:pt idx="2">
                  <c:v>2978.4</c:v>
                </c:pt>
                <c:pt idx="3">
                  <c:v>3868.8</c:v>
                </c:pt>
                <c:pt idx="4">
                  <c:v>5049.1000000000004</c:v>
                </c:pt>
                <c:pt idx="5">
                  <c:v>5961.8</c:v>
                </c:pt>
                <c:pt idx="6">
                  <c:v>7695.5</c:v>
                </c:pt>
                <c:pt idx="7">
                  <c:v>6609.7</c:v>
                </c:pt>
                <c:pt idx="8">
                  <c:v>5495.7</c:v>
                </c:pt>
                <c:pt idx="9">
                  <c:v>4682.8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4-4D6D-99AE-B61D795F1236}"/>
            </c:ext>
          </c:extLst>
        </c:ser>
        <c:ser>
          <c:idx val="2"/>
          <c:order val="2"/>
          <c:tx>
            <c:strRef>
              <c:f>Degradación!$D$3</c:f>
              <c:strCache>
                <c:ptCount val="1"/>
                <c:pt idx="0">
                  <c:v>P95 Lectura (ms)</c:v>
                </c:pt>
              </c:strCache>
            </c:strRef>
          </c:tx>
          <c:spPr>
            <a:ln w="1905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Degradación!$A$4:$A$13</c:f>
              <c:numCache>
                <c:formatCode>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Degradación!$D$4:$D$13</c:f>
              <c:numCache>
                <c:formatCode>#,##0</c:formatCode>
                <c:ptCount val="10"/>
                <c:pt idx="0">
                  <c:v>1347.6</c:v>
                </c:pt>
                <c:pt idx="1">
                  <c:v>2335</c:v>
                </c:pt>
                <c:pt idx="2">
                  <c:v>3877.5</c:v>
                </c:pt>
                <c:pt idx="3">
                  <c:v>4882.7</c:v>
                </c:pt>
                <c:pt idx="4">
                  <c:v>6539.6</c:v>
                </c:pt>
                <c:pt idx="5">
                  <c:v>7307.8</c:v>
                </c:pt>
                <c:pt idx="6">
                  <c:v>11920.4</c:v>
                </c:pt>
                <c:pt idx="7">
                  <c:v>9481.7999999999993</c:v>
                </c:pt>
                <c:pt idx="8">
                  <c:v>8775.7999999999993</c:v>
                </c:pt>
                <c:pt idx="9">
                  <c:v>9560.5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4-4D6D-99AE-B61D795F1236}"/>
            </c:ext>
          </c:extLst>
        </c:ser>
        <c:ser>
          <c:idx val="3"/>
          <c:order val="3"/>
          <c:tx>
            <c:strRef>
              <c:f>Degradación!$E$3</c:f>
              <c:strCache>
                <c:ptCount val="1"/>
                <c:pt idx="0">
                  <c:v>P95 Escritura (ms)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Degradación!$A$4:$A$13</c:f>
              <c:numCache>
                <c:formatCode>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Degradación!$E$4:$E$13</c:f>
              <c:numCache>
                <c:formatCode>#,##0</c:formatCode>
                <c:ptCount val="10"/>
                <c:pt idx="0">
                  <c:v>1745</c:v>
                </c:pt>
                <c:pt idx="1">
                  <c:v>2681.6</c:v>
                </c:pt>
                <c:pt idx="2">
                  <c:v>4248.5</c:v>
                </c:pt>
                <c:pt idx="3">
                  <c:v>5205.6000000000004</c:v>
                </c:pt>
                <c:pt idx="4">
                  <c:v>6737.8</c:v>
                </c:pt>
                <c:pt idx="5">
                  <c:v>7902.9</c:v>
                </c:pt>
                <c:pt idx="6">
                  <c:v>12587.7</c:v>
                </c:pt>
                <c:pt idx="7">
                  <c:v>10746.7</c:v>
                </c:pt>
                <c:pt idx="8">
                  <c:v>10452.200000000001</c:v>
                </c:pt>
                <c:pt idx="9">
                  <c:v>9775.1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B4-4D6D-99AE-B61D795F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575104"/>
        <c:axId val="1197583264"/>
      </c:lineChart>
      <c:catAx>
        <c:axId val="119757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Concurrencia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7583264"/>
        <c:crosses val="autoZero"/>
        <c:auto val="1"/>
        <c:lblAlgn val="ctr"/>
        <c:lblOffset val="100"/>
        <c:noMultiLvlLbl val="0"/>
      </c:catAx>
      <c:valAx>
        <c:axId val="119758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Latencia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75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Errores vs. Concurrencia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Degradación!$J$3</c:f>
              <c:strCache>
                <c:ptCount val="1"/>
                <c:pt idx="0">
                  <c:v>Error Lectura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Degradación!$I$4:$I$13</c:f>
              <c:numCache>
                <c:formatCode>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Degradación!$J$4:$J$13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1.5</c:v>
                </c:pt>
                <c:pt idx="9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2-4554-9CE6-B26C9ED07106}"/>
            </c:ext>
          </c:extLst>
        </c:ser>
        <c:ser>
          <c:idx val="1"/>
          <c:order val="1"/>
          <c:tx>
            <c:strRef>
              <c:f>Degradación!$K$3</c:f>
              <c:strCache>
                <c:ptCount val="1"/>
                <c:pt idx="0">
                  <c:v>Error Escritura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Degradación!$I$4:$I$13</c:f>
              <c:numCache>
                <c:formatCode>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Degradación!$K$4:$K$13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13.2</c:v>
                </c:pt>
                <c:pt idx="8">
                  <c:v>29.8</c:v>
                </c:pt>
                <c:pt idx="9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2-4554-9CE6-B26C9ED07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7576064"/>
        <c:axId val="1197577024"/>
      </c:barChart>
      <c:catAx>
        <c:axId val="119757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Hilos Concurrentes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7577024"/>
        <c:crosses val="autoZero"/>
        <c:auto val="1"/>
        <c:lblAlgn val="ctr"/>
        <c:lblOffset val="100"/>
        <c:noMultiLvlLbl val="0"/>
      </c:catAx>
      <c:valAx>
        <c:axId val="1197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Tasa de Error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75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6</xdr:row>
      <xdr:rowOff>38099</xdr:rowOff>
    </xdr:from>
    <xdr:to>
      <xdr:col>23</xdr:col>
      <xdr:colOff>304799</xdr:colOff>
      <xdr:row>33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462A6-0DCD-CE81-3D26-3D5754031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273050</xdr:colOff>
      <xdr:row>46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8F07F-13BE-42F4-95FF-DC7FFC2C3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152400</xdr:rowOff>
    </xdr:from>
    <xdr:to>
      <xdr:col>6</xdr:col>
      <xdr:colOff>273050</xdr:colOff>
      <xdr:row>79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B1B98-DC20-0639-B4B3-69D231643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es Tachyon" refreshedDate="46191.674990624997" createdVersion="8" refreshedVersion="8" minRefreshableVersion="3" recordCount="10" xr:uid="{A2BEE43F-E8EB-4E48-B0B4-FE56C261E648}">
  <cacheSource type="worksheet">
    <worksheetSource ref="A1:X11" sheet="1k_wr_test.csv"/>
  </cacheSource>
  <cacheFields count="24">
    <cacheField name="nivel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hilos_total" numFmtId="0">
      <sharedItems containsSemiMixedTypes="0" containsString="0" containsNumber="1" containsInteger="1" minValue="100" maxValue="1000" count="10">
        <n v="100"/>
        <n v="200"/>
        <n v="300"/>
        <n v="400"/>
        <n v="500"/>
        <n v="600"/>
        <n v="700"/>
        <n v="800"/>
        <n v="900"/>
        <n v="1000"/>
      </sharedItems>
    </cacheField>
    <cacheField name="hilos_lectura" numFmtId="0">
      <sharedItems containsSemiMixedTypes="0" containsString="0" containsNumber="1" containsInteger="1" minValue="50" maxValue="500" count="10">
        <n v="50"/>
        <n v="100"/>
        <n v="150"/>
        <n v="200"/>
        <n v="250"/>
        <n v="300"/>
        <n v="350"/>
        <n v="400"/>
        <n v="450"/>
        <n v="500"/>
      </sharedItems>
    </cacheField>
    <cacheField name="hilos_escritura" numFmtId="0">
      <sharedItems containsSemiMixedTypes="0" containsString="0" containsNumber="1" containsInteger="1" minValue="50" maxValue="500" count="10">
        <n v="50"/>
        <n v="100"/>
        <n v="150"/>
        <n v="200"/>
        <n v="250"/>
        <n v="300"/>
        <n v="350"/>
        <n v="400"/>
        <n v="450"/>
        <n v="500"/>
      </sharedItems>
    </cacheField>
    <cacheField name="lec_requests" numFmtId="0">
      <sharedItems containsSemiMixedTypes="0" containsString="0" containsNumber="1" containsInteger="1" minValue="400" maxValue="3589" count="10">
        <n v="400"/>
        <n v="800"/>
        <n v="1200"/>
        <n v="1600"/>
        <n v="2000"/>
        <n v="2400"/>
        <n v="2800"/>
        <n v="3023"/>
        <n v="3309"/>
        <n v="3589"/>
      </sharedItems>
    </cacheField>
    <cacheField name="lec_exitosos" numFmtId="0">
      <sharedItems containsSemiMixedTypes="0" containsString="0" containsNumber="1" containsInteger="1" minValue="400" maxValue="3520"/>
    </cacheField>
    <cacheField name="lec_errores" numFmtId="0">
      <sharedItems containsSemiMixedTypes="0" containsString="0" containsNumber="1" containsInteger="1" minValue="0" maxValue="69"/>
    </cacheField>
    <cacheField name="lec_error_%" numFmtId="0">
      <sharedItems containsSemiMixedTypes="0" containsString="0" containsNumber="1" minValue="0" maxValue="1.9"/>
    </cacheField>
    <cacheField name="lec_avg_paginas" numFmtId="0">
      <sharedItems containsSemiMixedTypes="0" containsString="0" containsNumber="1" minValue="7" maxValue="8"/>
    </cacheField>
    <cacheField name="lec_promedio_ms" numFmtId="0">
      <sharedItems containsSemiMixedTypes="0" containsString="0" containsNumber="1" minValue="699.1" maxValue="5070.8" count="10">
        <n v="699.1"/>
        <n v="1413.2"/>
        <n v="1798.6"/>
        <n v="2543.8000000000002"/>
        <n v="3397.7"/>
        <n v="3911.1"/>
        <n v="4540"/>
        <n v="4886.1000000000004"/>
        <n v="5012.6000000000004"/>
        <n v="5070.8"/>
      </sharedItems>
    </cacheField>
    <cacheField name="lec_mediana_ms" numFmtId="0">
      <sharedItems containsSemiMixedTypes="0" containsString="0" containsNumber="1" minValue="728" maxValue="5191.6000000000004"/>
    </cacheField>
    <cacheField name="lec_p95_ms" numFmtId="0">
      <sharedItems containsSemiMixedTypes="0" containsString="0" containsNumber="1" minValue="1347.6" maxValue="11920.4"/>
    </cacheField>
    <cacheField name="lec_min_ms" numFmtId="0">
      <sharedItems containsSemiMixedTypes="0" containsString="0" containsNumber="1" minValue="0" maxValue="188.7"/>
    </cacheField>
    <cacheField name="lec_max_ms" numFmtId="0">
      <sharedItems containsSemiMixedTypes="0" containsString="0" containsNumber="1" minValue="1485.2" maxValue="13381.5"/>
    </cacheField>
    <cacheField name="esc_requests" numFmtId="0">
      <sharedItems containsSemiMixedTypes="0" containsString="0" containsNumber="1" containsInteger="1" minValue="50" maxValue="500" count="10">
        <n v="50"/>
        <n v="100"/>
        <n v="150"/>
        <n v="200"/>
        <n v="250"/>
        <n v="300"/>
        <n v="350"/>
        <n v="400"/>
        <n v="450"/>
        <n v="500"/>
      </sharedItems>
    </cacheField>
    <cacheField name="esc_exitosos" numFmtId="0">
      <sharedItems containsSemiMixedTypes="0" containsString="0" containsNumber="1" containsInteger="1" minValue="50" maxValue="350"/>
    </cacheField>
    <cacheField name="esc_errores" numFmtId="0">
      <sharedItems containsSemiMixedTypes="0" containsString="0" containsNumber="1" containsInteger="1" minValue="0" maxValue="213"/>
    </cacheField>
    <cacheField name="esc_error_%" numFmtId="0">
      <sharedItems containsSemiMixedTypes="0" containsString="0" containsNumber="1" minValue="0" maxValue="42.6"/>
    </cacheField>
    <cacheField name="esc_promedio_ms" numFmtId="0">
      <sharedItems containsSemiMixedTypes="0" containsString="0" containsNumber="1" minValue="1356.8" maxValue="7695.5"/>
    </cacheField>
    <cacheField name="esc_mediana_ms" numFmtId="0">
      <sharedItems containsSemiMixedTypes="0" containsString="0" containsNumber="1" minValue="1375.2" maxValue="7255.7"/>
    </cacheField>
    <cacheField name="esc_p95_ms" numFmtId="0">
      <sharedItems containsSemiMixedTypes="0" containsString="0" containsNumber="1" minValue="1745" maxValue="12587.7"/>
    </cacheField>
    <cacheField name="esc_min_ms" numFmtId="0">
      <sharedItems containsSemiMixedTypes="0" containsString="0" containsNumber="1" minValue="0" maxValue="2470.5"/>
    </cacheField>
    <cacheField name="esc_max_ms" numFmtId="0">
      <sharedItems containsSemiMixedTypes="0" containsString="0" containsNumber="1" minValue="1806.9" maxValue="14468.8"/>
    </cacheField>
    <cacheField name="duracion_total_s" numFmtId="0">
      <sharedItems containsSemiMixedTypes="0" containsString="0" containsNumber="1" minValue="6.24" maxValue="4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n v="400"/>
    <n v="0"/>
    <n v="0"/>
    <n v="8"/>
    <x v="0"/>
    <n v="728"/>
    <n v="1347.6"/>
    <n v="170.4"/>
    <n v="1485.2"/>
    <x v="0"/>
    <n v="50"/>
    <n v="0"/>
    <n v="0"/>
    <n v="1356.8"/>
    <n v="1375.2"/>
    <n v="1745"/>
    <n v="747.6"/>
    <n v="1806.9"/>
    <n v="6.24"/>
  </r>
  <r>
    <x v="1"/>
    <x v="1"/>
    <x v="1"/>
    <x v="1"/>
    <x v="1"/>
    <n v="800"/>
    <n v="0"/>
    <n v="0"/>
    <n v="8"/>
    <x v="1"/>
    <n v="1493.2"/>
    <n v="2335"/>
    <n v="173.3"/>
    <n v="2831.2"/>
    <x v="1"/>
    <n v="100"/>
    <n v="0"/>
    <n v="0"/>
    <n v="2075"/>
    <n v="2187.4"/>
    <n v="2681.6"/>
    <n v="323.3"/>
    <n v="2871.7"/>
    <n v="12.38"/>
  </r>
  <r>
    <x v="2"/>
    <x v="2"/>
    <x v="2"/>
    <x v="2"/>
    <x v="2"/>
    <n v="1200"/>
    <n v="0"/>
    <n v="0"/>
    <n v="8"/>
    <x v="2"/>
    <n v="1883.6"/>
    <n v="3877.5"/>
    <n v="174.7"/>
    <n v="4347.2"/>
    <x v="2"/>
    <n v="150"/>
    <n v="0"/>
    <n v="0"/>
    <n v="2978.4"/>
    <n v="3051.2"/>
    <n v="4248.5"/>
    <n v="752.4"/>
    <n v="4461"/>
    <n v="16.809999999999999"/>
  </r>
  <r>
    <x v="3"/>
    <x v="3"/>
    <x v="3"/>
    <x v="3"/>
    <x v="3"/>
    <n v="1600"/>
    <n v="0"/>
    <n v="0"/>
    <n v="8"/>
    <x v="3"/>
    <n v="2900.7"/>
    <n v="4882.7"/>
    <n v="171.7"/>
    <n v="5202.1000000000004"/>
    <x v="3"/>
    <n v="200"/>
    <n v="0"/>
    <n v="0"/>
    <n v="3868.8"/>
    <n v="4014.1"/>
    <n v="5205.6000000000004"/>
    <n v="274"/>
    <n v="5482.6"/>
    <n v="22.79"/>
  </r>
  <r>
    <x v="4"/>
    <x v="4"/>
    <x v="4"/>
    <x v="4"/>
    <x v="4"/>
    <n v="2000"/>
    <n v="0"/>
    <n v="0"/>
    <n v="8"/>
    <x v="4"/>
    <n v="3391.8"/>
    <n v="6539.6"/>
    <n v="175.2"/>
    <n v="7214.1"/>
    <x v="4"/>
    <n v="250"/>
    <n v="0"/>
    <n v="0"/>
    <n v="5049.1000000000004"/>
    <n v="5027.6000000000004"/>
    <n v="6737.8"/>
    <n v="2373.6"/>
    <n v="7046"/>
    <n v="29.77"/>
  </r>
  <r>
    <x v="5"/>
    <x v="5"/>
    <x v="5"/>
    <x v="5"/>
    <x v="5"/>
    <n v="2400"/>
    <n v="0"/>
    <n v="0"/>
    <n v="8"/>
    <x v="5"/>
    <n v="3733.5"/>
    <n v="7307.8"/>
    <n v="188.7"/>
    <n v="8438.5"/>
    <x v="5"/>
    <n v="300"/>
    <n v="0"/>
    <n v="0"/>
    <n v="5961.8"/>
    <n v="6003"/>
    <n v="7902.9"/>
    <n v="2470.5"/>
    <n v="8412.2999999999993"/>
    <n v="34.19"/>
  </r>
  <r>
    <x v="6"/>
    <x v="6"/>
    <x v="6"/>
    <x v="6"/>
    <x v="6"/>
    <n v="2800"/>
    <n v="0"/>
    <n v="0"/>
    <n v="8"/>
    <x v="6"/>
    <n v="4442.1000000000004"/>
    <n v="11920.4"/>
    <n v="178.5"/>
    <n v="13381.5"/>
    <x v="6"/>
    <n v="350"/>
    <n v="0"/>
    <n v="0"/>
    <n v="7695.5"/>
    <n v="6868.2"/>
    <n v="12587.7"/>
    <n v="2348.8000000000002"/>
    <n v="14468.8"/>
    <n v="42.29"/>
  </r>
  <r>
    <x v="7"/>
    <x v="7"/>
    <x v="7"/>
    <x v="7"/>
    <x v="7"/>
    <n v="2993"/>
    <n v="30"/>
    <n v="1"/>
    <n v="7.5"/>
    <x v="7"/>
    <n v="4818.5"/>
    <n v="9481.7999999999993"/>
    <n v="0"/>
    <n v="11016.5"/>
    <x v="7"/>
    <n v="347"/>
    <n v="53"/>
    <n v="13.2"/>
    <n v="6609.7"/>
    <n v="7255.7"/>
    <n v="10746.7"/>
    <n v="0"/>
    <n v="11129.7"/>
    <n v="43.11"/>
  </r>
  <r>
    <x v="8"/>
    <x v="8"/>
    <x v="8"/>
    <x v="8"/>
    <x v="8"/>
    <n v="3260"/>
    <n v="49"/>
    <n v="1.5"/>
    <n v="7.2"/>
    <x v="8"/>
    <n v="4884.7"/>
    <n v="8775.7999999999993"/>
    <n v="0"/>
    <n v="10570.3"/>
    <x v="8"/>
    <n v="316"/>
    <n v="134"/>
    <n v="29.8"/>
    <n v="5495.7"/>
    <n v="6601"/>
    <n v="10452.200000000001"/>
    <n v="0"/>
    <n v="10881.2"/>
    <n v="45.65"/>
  </r>
  <r>
    <x v="9"/>
    <x v="9"/>
    <x v="9"/>
    <x v="9"/>
    <x v="9"/>
    <n v="3520"/>
    <n v="69"/>
    <n v="1.9"/>
    <n v="7"/>
    <x v="9"/>
    <n v="5191.6000000000004"/>
    <n v="9560.5"/>
    <n v="0"/>
    <n v="10132.9"/>
    <x v="9"/>
    <n v="287"/>
    <n v="213"/>
    <n v="42.6"/>
    <n v="4682.8"/>
    <n v="6882.5"/>
    <n v="9775.1"/>
    <n v="0"/>
    <n v="10057.1"/>
    <n v="47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57CD-9654-4C8F-AFBD-F31E97F96C0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oncurrencia">
  <location ref="A3:C14" firstHeaderRow="0" firstDataRow="1" firstDataCol="1"/>
  <pivotFields count="24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0"/>
        <item sd="0"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ilos_escritura" fld="3" baseField="0" baseItem="0"/>
    <dataField name="Sum of hilos_lectura" fld="2" baseField="0" baseItem="0"/>
  </dataFields>
  <chartFormats count="2"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E305BD-112F-4CC9-8B48-90132B06D6A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8023cf3-edda-46a4-bc1b-57b7145572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3F2E-AAEA-4C5B-AE70-AAA97561E89C}">
  <dimension ref="A3:C14"/>
  <sheetViews>
    <sheetView topLeftCell="A16" workbookViewId="0">
      <selection activeCell="C49" sqref="C49"/>
    </sheetView>
  </sheetViews>
  <sheetFormatPr defaultRowHeight="12.75" x14ac:dyDescent="0.2"/>
  <cols>
    <col min="1" max="1" width="15.5703125" bestFit="1" customWidth="1"/>
    <col min="2" max="2" width="21.5703125" bestFit="1" customWidth="1"/>
    <col min="3" max="3" width="19.85546875" bestFit="1" customWidth="1"/>
    <col min="4" max="4" width="17.5703125" bestFit="1" customWidth="1"/>
    <col min="5" max="5" width="24.7109375" bestFit="1" customWidth="1"/>
    <col min="6" max="7" width="7" bestFit="1" customWidth="1"/>
    <col min="8" max="8" width="5" bestFit="1" customWidth="1"/>
    <col min="9" max="17" width="7" bestFit="1" customWidth="1"/>
    <col min="18" max="18" width="5" bestFit="1" customWidth="1"/>
    <col min="19" max="21" width="7" bestFit="1" customWidth="1"/>
    <col min="22" max="22" width="11.140625" bestFit="1" customWidth="1"/>
    <col min="23" max="23" width="12.140625" bestFit="1" customWidth="1"/>
  </cols>
  <sheetData>
    <row r="3" spans="1:3" x14ac:dyDescent="0.2">
      <c r="A3" s="2" t="s">
        <v>25</v>
      </c>
      <c r="B3" t="s">
        <v>27</v>
      </c>
      <c r="C3" t="s">
        <v>26</v>
      </c>
    </row>
    <row r="4" spans="1:3" x14ac:dyDescent="0.2">
      <c r="A4" s="3">
        <v>100</v>
      </c>
      <c r="B4" s="4">
        <v>50</v>
      </c>
      <c r="C4" s="4">
        <v>50</v>
      </c>
    </row>
    <row r="5" spans="1:3" x14ac:dyDescent="0.2">
      <c r="A5" s="3">
        <v>200</v>
      </c>
      <c r="B5" s="4">
        <v>100</v>
      </c>
      <c r="C5" s="4">
        <v>100</v>
      </c>
    </row>
    <row r="6" spans="1:3" x14ac:dyDescent="0.2">
      <c r="A6" s="3">
        <v>300</v>
      </c>
      <c r="B6" s="4">
        <v>150</v>
      </c>
      <c r="C6" s="4">
        <v>150</v>
      </c>
    </row>
    <row r="7" spans="1:3" x14ac:dyDescent="0.2">
      <c r="A7" s="3">
        <v>400</v>
      </c>
      <c r="B7" s="4">
        <v>200</v>
      </c>
      <c r="C7" s="4">
        <v>200</v>
      </c>
    </row>
    <row r="8" spans="1:3" x14ac:dyDescent="0.2">
      <c r="A8" s="3">
        <v>500</v>
      </c>
      <c r="B8" s="4">
        <v>250</v>
      </c>
      <c r="C8" s="4">
        <v>250</v>
      </c>
    </row>
    <row r="9" spans="1:3" x14ac:dyDescent="0.2">
      <c r="A9" s="3">
        <v>600</v>
      </c>
      <c r="B9" s="4">
        <v>300</v>
      </c>
      <c r="C9" s="4">
        <v>300</v>
      </c>
    </row>
    <row r="10" spans="1:3" x14ac:dyDescent="0.2">
      <c r="A10" s="3">
        <v>700</v>
      </c>
      <c r="B10" s="4">
        <v>350</v>
      </c>
      <c r="C10" s="4">
        <v>350</v>
      </c>
    </row>
    <row r="11" spans="1:3" x14ac:dyDescent="0.2">
      <c r="A11" s="3">
        <v>800</v>
      </c>
      <c r="B11" s="4">
        <v>400</v>
      </c>
      <c r="C11" s="4">
        <v>400</v>
      </c>
    </row>
    <row r="12" spans="1:3" x14ac:dyDescent="0.2">
      <c r="A12" s="3">
        <v>900</v>
      </c>
      <c r="B12" s="4">
        <v>450</v>
      </c>
      <c r="C12" s="4">
        <v>450</v>
      </c>
    </row>
    <row r="13" spans="1:3" x14ac:dyDescent="0.2">
      <c r="A13" s="3">
        <v>1000</v>
      </c>
      <c r="B13" s="4">
        <v>500</v>
      </c>
      <c r="C13" s="4">
        <v>500</v>
      </c>
    </row>
    <row r="14" spans="1:3" x14ac:dyDescent="0.2">
      <c r="A14" s="3" t="s">
        <v>24</v>
      </c>
      <c r="B14" s="4">
        <v>2750</v>
      </c>
      <c r="C14" s="4">
        <v>2750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1"/>
  <sheetViews>
    <sheetView workbookViewId="0">
      <selection activeCell="V32" sqref="V32"/>
    </sheetView>
  </sheetViews>
  <sheetFormatPr defaultColWidth="12.5703125" defaultRowHeight="15.75" customHeight="1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1</v>
      </c>
      <c r="B2" s="1">
        <v>100</v>
      </c>
      <c r="C2" s="1">
        <v>50</v>
      </c>
      <c r="D2" s="1">
        <v>50</v>
      </c>
      <c r="E2" s="1">
        <v>400</v>
      </c>
      <c r="F2" s="1">
        <v>400</v>
      </c>
      <c r="G2" s="1">
        <v>0</v>
      </c>
      <c r="H2" s="1">
        <v>0</v>
      </c>
      <c r="I2" s="1">
        <v>8</v>
      </c>
      <c r="J2" s="1">
        <v>699.1</v>
      </c>
      <c r="K2" s="1">
        <v>728</v>
      </c>
      <c r="L2" s="1">
        <v>1347.6</v>
      </c>
      <c r="M2" s="1">
        <v>170.4</v>
      </c>
      <c r="N2" s="1">
        <v>1485.2</v>
      </c>
      <c r="O2" s="1">
        <v>50</v>
      </c>
      <c r="P2" s="1">
        <v>50</v>
      </c>
      <c r="Q2" s="1">
        <v>0</v>
      </c>
      <c r="R2" s="1">
        <v>0</v>
      </c>
      <c r="S2" s="1">
        <v>1356.8</v>
      </c>
      <c r="T2" s="1">
        <v>1375.2</v>
      </c>
      <c r="U2" s="1">
        <v>1745</v>
      </c>
      <c r="V2" s="1">
        <v>747.6</v>
      </c>
      <c r="W2" s="1">
        <v>1806.9</v>
      </c>
      <c r="X2" s="1">
        <v>6.24</v>
      </c>
    </row>
    <row r="3" spans="1:24" x14ac:dyDescent="0.2">
      <c r="A3" s="1">
        <v>2</v>
      </c>
      <c r="B3" s="1">
        <v>200</v>
      </c>
      <c r="C3" s="1">
        <v>100</v>
      </c>
      <c r="D3" s="1">
        <v>100</v>
      </c>
      <c r="E3" s="1">
        <v>800</v>
      </c>
      <c r="F3" s="1">
        <v>800</v>
      </c>
      <c r="G3" s="1">
        <v>0</v>
      </c>
      <c r="H3" s="1">
        <v>0</v>
      </c>
      <c r="I3" s="1">
        <v>8</v>
      </c>
      <c r="J3" s="1">
        <v>1413.2</v>
      </c>
      <c r="K3" s="1">
        <v>1493.2</v>
      </c>
      <c r="L3" s="1">
        <v>2335</v>
      </c>
      <c r="M3" s="1">
        <v>173.3</v>
      </c>
      <c r="N3" s="1">
        <v>2831.2</v>
      </c>
      <c r="O3" s="1">
        <v>100</v>
      </c>
      <c r="P3" s="1">
        <v>100</v>
      </c>
      <c r="Q3" s="1">
        <v>0</v>
      </c>
      <c r="R3" s="1">
        <v>0</v>
      </c>
      <c r="S3" s="1">
        <v>2075</v>
      </c>
      <c r="T3" s="1">
        <v>2187.4</v>
      </c>
      <c r="U3" s="1">
        <v>2681.6</v>
      </c>
      <c r="V3" s="1">
        <v>323.3</v>
      </c>
      <c r="W3" s="1">
        <v>2871.7</v>
      </c>
      <c r="X3" s="1">
        <v>12.38</v>
      </c>
    </row>
    <row r="4" spans="1:24" x14ac:dyDescent="0.2">
      <c r="A4" s="1">
        <v>3</v>
      </c>
      <c r="B4" s="1">
        <v>300</v>
      </c>
      <c r="C4" s="1">
        <v>150</v>
      </c>
      <c r="D4" s="1">
        <v>150</v>
      </c>
      <c r="E4" s="1">
        <v>1200</v>
      </c>
      <c r="F4" s="1">
        <v>1200</v>
      </c>
      <c r="G4" s="1">
        <v>0</v>
      </c>
      <c r="H4" s="1">
        <v>0</v>
      </c>
      <c r="I4" s="1">
        <v>8</v>
      </c>
      <c r="J4" s="1">
        <v>1798.6</v>
      </c>
      <c r="K4" s="1">
        <v>1883.6</v>
      </c>
      <c r="L4" s="1">
        <v>3877.5</v>
      </c>
      <c r="M4" s="1">
        <v>174.7</v>
      </c>
      <c r="N4" s="1">
        <v>4347.2</v>
      </c>
      <c r="O4" s="1">
        <v>150</v>
      </c>
      <c r="P4" s="1">
        <v>150</v>
      </c>
      <c r="Q4" s="1">
        <v>0</v>
      </c>
      <c r="R4" s="1">
        <v>0</v>
      </c>
      <c r="S4" s="1">
        <v>2978.4</v>
      </c>
      <c r="T4" s="1">
        <v>3051.2</v>
      </c>
      <c r="U4" s="1">
        <v>4248.5</v>
      </c>
      <c r="V4" s="1">
        <v>752.4</v>
      </c>
      <c r="W4" s="1">
        <v>4461</v>
      </c>
      <c r="X4" s="1">
        <v>16.809999999999999</v>
      </c>
    </row>
    <row r="5" spans="1:24" x14ac:dyDescent="0.2">
      <c r="A5" s="1">
        <v>4</v>
      </c>
      <c r="B5" s="1">
        <v>400</v>
      </c>
      <c r="C5" s="1">
        <v>200</v>
      </c>
      <c r="D5" s="1">
        <v>200</v>
      </c>
      <c r="E5" s="1">
        <v>1600</v>
      </c>
      <c r="F5" s="1">
        <v>1600</v>
      </c>
      <c r="G5" s="1">
        <v>0</v>
      </c>
      <c r="H5" s="1">
        <v>0</v>
      </c>
      <c r="I5" s="1">
        <v>8</v>
      </c>
      <c r="J5" s="1">
        <v>2543.8000000000002</v>
      </c>
      <c r="K5" s="1">
        <v>2900.7</v>
      </c>
      <c r="L5" s="1">
        <v>4882.7</v>
      </c>
      <c r="M5" s="1">
        <v>171.7</v>
      </c>
      <c r="N5" s="1">
        <v>5202.1000000000004</v>
      </c>
      <c r="O5" s="1">
        <v>200</v>
      </c>
      <c r="P5" s="1">
        <v>200</v>
      </c>
      <c r="Q5" s="1">
        <v>0</v>
      </c>
      <c r="R5" s="1">
        <v>0</v>
      </c>
      <c r="S5" s="1">
        <v>3868.8</v>
      </c>
      <c r="T5" s="1">
        <v>4014.1</v>
      </c>
      <c r="U5" s="1">
        <v>5205.6000000000004</v>
      </c>
      <c r="V5" s="1">
        <v>274</v>
      </c>
      <c r="W5" s="1">
        <v>5482.6</v>
      </c>
      <c r="X5" s="1">
        <v>22.79</v>
      </c>
    </row>
    <row r="6" spans="1:24" x14ac:dyDescent="0.2">
      <c r="A6" s="1">
        <v>5</v>
      </c>
      <c r="B6" s="1">
        <v>500</v>
      </c>
      <c r="C6" s="1">
        <v>250</v>
      </c>
      <c r="D6" s="1">
        <v>250</v>
      </c>
      <c r="E6" s="1">
        <v>2000</v>
      </c>
      <c r="F6" s="1">
        <v>2000</v>
      </c>
      <c r="G6" s="1">
        <v>0</v>
      </c>
      <c r="H6" s="1">
        <v>0</v>
      </c>
      <c r="I6" s="1">
        <v>8</v>
      </c>
      <c r="J6" s="1">
        <v>3397.7</v>
      </c>
      <c r="K6" s="1">
        <v>3391.8</v>
      </c>
      <c r="L6" s="1">
        <v>6539.6</v>
      </c>
      <c r="M6" s="1">
        <v>175.2</v>
      </c>
      <c r="N6" s="1">
        <v>7214.1</v>
      </c>
      <c r="O6" s="1">
        <v>250</v>
      </c>
      <c r="P6" s="1">
        <v>250</v>
      </c>
      <c r="Q6" s="1">
        <v>0</v>
      </c>
      <c r="R6" s="1">
        <v>0</v>
      </c>
      <c r="S6" s="1">
        <v>5049.1000000000004</v>
      </c>
      <c r="T6" s="1">
        <v>5027.6000000000004</v>
      </c>
      <c r="U6" s="1">
        <v>6737.8</v>
      </c>
      <c r="V6" s="1">
        <v>2373.6</v>
      </c>
      <c r="W6" s="1">
        <v>7046</v>
      </c>
      <c r="X6" s="1">
        <v>29.77</v>
      </c>
    </row>
    <row r="7" spans="1:24" x14ac:dyDescent="0.2">
      <c r="A7" s="1">
        <v>6</v>
      </c>
      <c r="B7" s="1">
        <v>600</v>
      </c>
      <c r="C7" s="1">
        <v>300</v>
      </c>
      <c r="D7" s="1">
        <v>300</v>
      </c>
      <c r="E7" s="1">
        <v>2400</v>
      </c>
      <c r="F7" s="1">
        <v>2400</v>
      </c>
      <c r="G7" s="1">
        <v>0</v>
      </c>
      <c r="H7" s="1">
        <v>0</v>
      </c>
      <c r="I7" s="1">
        <v>8</v>
      </c>
      <c r="J7" s="1">
        <v>3911.1</v>
      </c>
      <c r="K7" s="1">
        <v>3733.5</v>
      </c>
      <c r="L7" s="1">
        <v>7307.8</v>
      </c>
      <c r="M7" s="1">
        <v>188.7</v>
      </c>
      <c r="N7" s="1">
        <v>8438.5</v>
      </c>
      <c r="O7" s="1">
        <v>300</v>
      </c>
      <c r="P7" s="1">
        <v>300</v>
      </c>
      <c r="Q7" s="1">
        <v>0</v>
      </c>
      <c r="R7" s="1">
        <v>0</v>
      </c>
      <c r="S7" s="1">
        <v>5961.8</v>
      </c>
      <c r="T7" s="1">
        <v>6003</v>
      </c>
      <c r="U7" s="1">
        <v>7902.9</v>
      </c>
      <c r="V7" s="1">
        <v>2470.5</v>
      </c>
      <c r="W7" s="1">
        <v>8412.2999999999993</v>
      </c>
      <c r="X7" s="1">
        <v>34.19</v>
      </c>
    </row>
    <row r="8" spans="1:24" x14ac:dyDescent="0.2">
      <c r="A8" s="1">
        <v>7</v>
      </c>
      <c r="B8" s="1">
        <v>700</v>
      </c>
      <c r="C8" s="1">
        <v>350</v>
      </c>
      <c r="D8" s="1">
        <v>350</v>
      </c>
      <c r="E8" s="1">
        <v>2800</v>
      </c>
      <c r="F8" s="1">
        <v>2800</v>
      </c>
      <c r="G8" s="1">
        <v>0</v>
      </c>
      <c r="H8" s="1">
        <v>0</v>
      </c>
      <c r="I8" s="1">
        <v>8</v>
      </c>
      <c r="J8" s="1">
        <v>4540</v>
      </c>
      <c r="K8" s="1">
        <v>4442.1000000000004</v>
      </c>
      <c r="L8" s="1">
        <v>11920.4</v>
      </c>
      <c r="M8" s="1">
        <v>178.5</v>
      </c>
      <c r="N8" s="1">
        <v>13381.5</v>
      </c>
      <c r="O8" s="1">
        <v>350</v>
      </c>
      <c r="P8" s="1">
        <v>350</v>
      </c>
      <c r="Q8" s="1">
        <v>0</v>
      </c>
      <c r="R8" s="1">
        <v>0</v>
      </c>
      <c r="S8" s="1">
        <v>7695.5</v>
      </c>
      <c r="T8" s="1">
        <v>6868.2</v>
      </c>
      <c r="U8" s="1">
        <v>12587.7</v>
      </c>
      <c r="V8" s="1">
        <v>2348.8000000000002</v>
      </c>
      <c r="W8" s="1">
        <v>14468.8</v>
      </c>
      <c r="X8" s="1">
        <v>42.29</v>
      </c>
    </row>
    <row r="9" spans="1:24" x14ac:dyDescent="0.2">
      <c r="A9" s="1">
        <v>8</v>
      </c>
      <c r="B9" s="1">
        <v>800</v>
      </c>
      <c r="C9" s="1">
        <v>400</v>
      </c>
      <c r="D9" s="1">
        <v>400</v>
      </c>
      <c r="E9" s="1">
        <v>3023</v>
      </c>
      <c r="F9" s="1">
        <v>2993</v>
      </c>
      <c r="G9" s="1">
        <v>30</v>
      </c>
      <c r="H9" s="1">
        <v>1</v>
      </c>
      <c r="I9" s="1">
        <v>7.5</v>
      </c>
      <c r="J9" s="1">
        <v>4886.1000000000004</v>
      </c>
      <c r="K9" s="1">
        <v>4818.5</v>
      </c>
      <c r="L9" s="1">
        <v>9481.7999999999993</v>
      </c>
      <c r="M9" s="1">
        <v>0</v>
      </c>
      <c r="N9" s="1">
        <v>11016.5</v>
      </c>
      <c r="O9" s="1">
        <v>400</v>
      </c>
      <c r="P9" s="1">
        <v>347</v>
      </c>
      <c r="Q9" s="1">
        <v>53</v>
      </c>
      <c r="R9" s="1">
        <v>13.2</v>
      </c>
      <c r="S9" s="1">
        <v>6609.7</v>
      </c>
      <c r="T9" s="1">
        <v>7255.7</v>
      </c>
      <c r="U9" s="1">
        <v>10746.7</v>
      </c>
      <c r="V9" s="1">
        <v>0</v>
      </c>
      <c r="W9" s="1">
        <v>11129.7</v>
      </c>
      <c r="X9" s="1">
        <v>43.11</v>
      </c>
    </row>
    <row r="10" spans="1:24" x14ac:dyDescent="0.2">
      <c r="A10" s="1">
        <v>9</v>
      </c>
      <c r="B10" s="1">
        <v>900</v>
      </c>
      <c r="C10" s="1">
        <v>450</v>
      </c>
      <c r="D10" s="1">
        <v>450</v>
      </c>
      <c r="E10" s="1">
        <v>3309</v>
      </c>
      <c r="F10" s="1">
        <v>3260</v>
      </c>
      <c r="G10" s="1">
        <v>49</v>
      </c>
      <c r="H10" s="1">
        <v>1.5</v>
      </c>
      <c r="I10" s="1">
        <v>7.2</v>
      </c>
      <c r="J10" s="1">
        <v>5012.6000000000004</v>
      </c>
      <c r="K10" s="1">
        <v>4884.7</v>
      </c>
      <c r="L10" s="1">
        <v>8775.7999999999993</v>
      </c>
      <c r="M10" s="1">
        <v>0</v>
      </c>
      <c r="N10" s="1">
        <v>10570.3</v>
      </c>
      <c r="O10" s="1">
        <v>450</v>
      </c>
      <c r="P10" s="1">
        <v>316</v>
      </c>
      <c r="Q10" s="1">
        <v>134</v>
      </c>
      <c r="R10" s="1">
        <v>29.8</v>
      </c>
      <c r="S10" s="1">
        <v>5495.7</v>
      </c>
      <c r="T10" s="1">
        <v>6601</v>
      </c>
      <c r="U10" s="1">
        <v>10452.200000000001</v>
      </c>
      <c r="V10" s="1">
        <v>0</v>
      </c>
      <c r="W10" s="1">
        <v>10881.2</v>
      </c>
      <c r="X10" s="1">
        <v>45.65</v>
      </c>
    </row>
    <row r="11" spans="1:24" x14ac:dyDescent="0.2">
      <c r="A11" s="1">
        <v>10</v>
      </c>
      <c r="B11" s="1">
        <v>1000</v>
      </c>
      <c r="C11" s="1">
        <v>500</v>
      </c>
      <c r="D11" s="1">
        <v>500</v>
      </c>
      <c r="E11" s="1">
        <v>3589</v>
      </c>
      <c r="F11" s="1">
        <v>3520</v>
      </c>
      <c r="G11" s="1">
        <v>69</v>
      </c>
      <c r="H11" s="1">
        <v>1.9</v>
      </c>
      <c r="I11" s="1">
        <v>7</v>
      </c>
      <c r="J11" s="1">
        <v>5070.8</v>
      </c>
      <c r="K11" s="1">
        <v>5191.6000000000004</v>
      </c>
      <c r="L11" s="1">
        <v>9560.5</v>
      </c>
      <c r="M11" s="1">
        <v>0</v>
      </c>
      <c r="N11" s="1">
        <v>10132.9</v>
      </c>
      <c r="O11" s="1">
        <v>500</v>
      </c>
      <c r="P11" s="1">
        <v>287</v>
      </c>
      <c r="Q11" s="1">
        <v>213</v>
      </c>
      <c r="R11" s="1">
        <v>42.6</v>
      </c>
      <c r="S11" s="1">
        <v>4682.8</v>
      </c>
      <c r="T11" s="1">
        <v>6882.5</v>
      </c>
      <c r="U11" s="1">
        <v>9775.1</v>
      </c>
      <c r="V11" s="1">
        <v>0</v>
      </c>
      <c r="W11" s="1">
        <v>10057.1</v>
      </c>
      <c r="X11" s="1">
        <v>47.11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D61D-C452-416C-9734-5D6319C72F4E}">
  <dimension ref="A1:K14"/>
  <sheetViews>
    <sheetView tabSelected="1" workbookViewId="0">
      <selection activeCell="C12" sqref="C12"/>
    </sheetView>
  </sheetViews>
  <sheetFormatPr defaultRowHeight="12.75" x14ac:dyDescent="0.2"/>
  <cols>
    <col min="1" max="1" width="19" customWidth="1"/>
    <col min="2" max="7" width="24.7109375" customWidth="1"/>
    <col min="8" max="8" width="2.85546875" customWidth="1"/>
    <col min="9" max="11" width="24.7109375" customWidth="1"/>
  </cols>
  <sheetData>
    <row r="1" spans="1:11" ht="16.5" x14ac:dyDescent="0.25">
      <c r="A1" s="5" t="s">
        <v>28</v>
      </c>
    </row>
    <row r="3" spans="1:11" x14ac:dyDescent="0.2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I3" s="12" t="s">
        <v>29</v>
      </c>
      <c r="J3" s="12" t="s">
        <v>34</v>
      </c>
      <c r="K3" s="12" t="s">
        <v>35</v>
      </c>
    </row>
    <row r="4" spans="1:11" x14ac:dyDescent="0.2">
      <c r="A4" s="7">
        <f>'1k_wr_test.csv'!B2</f>
        <v>100</v>
      </c>
      <c r="B4" s="7">
        <f>'1k_wr_test.csv'!J2</f>
        <v>699.1</v>
      </c>
      <c r="C4" s="7">
        <f>'1k_wr_test.csv'!S2</f>
        <v>1356.8</v>
      </c>
      <c r="D4" s="7">
        <f>'1k_wr_test.csv'!L2</f>
        <v>1347.6</v>
      </c>
      <c r="E4" s="7">
        <f>'1k_wr_test.csv'!U2</f>
        <v>1745</v>
      </c>
      <c r="F4" s="8">
        <f>'1k_wr_test.csv'!H2</f>
        <v>0</v>
      </c>
      <c r="G4" s="8">
        <f>'1k_wr_test.csv'!R2</f>
        <v>0</v>
      </c>
      <c r="I4" s="7">
        <f>A4</f>
        <v>100</v>
      </c>
      <c r="J4" s="8">
        <f>F4</f>
        <v>0</v>
      </c>
      <c r="K4" s="8">
        <f>G4</f>
        <v>0</v>
      </c>
    </row>
    <row r="5" spans="1:11" x14ac:dyDescent="0.2">
      <c r="A5" s="7">
        <f>'1k_wr_test.csv'!B3</f>
        <v>200</v>
      </c>
      <c r="B5" s="7">
        <f>'1k_wr_test.csv'!J3</f>
        <v>1413.2</v>
      </c>
      <c r="C5" s="7">
        <f>'1k_wr_test.csv'!S3</f>
        <v>2075</v>
      </c>
      <c r="D5" s="7">
        <f>'1k_wr_test.csv'!L3</f>
        <v>2335</v>
      </c>
      <c r="E5" s="7">
        <f>'1k_wr_test.csv'!U3</f>
        <v>2681.6</v>
      </c>
      <c r="F5" s="8">
        <f>'1k_wr_test.csv'!H3</f>
        <v>0</v>
      </c>
      <c r="G5" s="8">
        <f>'1k_wr_test.csv'!R3</f>
        <v>0</v>
      </c>
      <c r="I5" s="7">
        <f>A5</f>
        <v>200</v>
      </c>
      <c r="J5" s="8">
        <f>F5</f>
        <v>0</v>
      </c>
      <c r="K5" s="8">
        <f>G5</f>
        <v>0</v>
      </c>
    </row>
    <row r="6" spans="1:11" x14ac:dyDescent="0.2">
      <c r="A6" s="7">
        <f>'1k_wr_test.csv'!B4</f>
        <v>300</v>
      </c>
      <c r="B6" s="7">
        <f>'1k_wr_test.csv'!J4</f>
        <v>1798.6</v>
      </c>
      <c r="C6" s="7">
        <f>'1k_wr_test.csv'!S4</f>
        <v>2978.4</v>
      </c>
      <c r="D6" s="7">
        <f>'1k_wr_test.csv'!L4</f>
        <v>3877.5</v>
      </c>
      <c r="E6" s="7">
        <f>'1k_wr_test.csv'!U4</f>
        <v>4248.5</v>
      </c>
      <c r="F6" s="8">
        <f>'1k_wr_test.csv'!H4</f>
        <v>0</v>
      </c>
      <c r="G6" s="8">
        <f>'1k_wr_test.csv'!R4</f>
        <v>0</v>
      </c>
      <c r="I6" s="7">
        <f>A6</f>
        <v>300</v>
      </c>
      <c r="J6" s="8">
        <f>F6</f>
        <v>0</v>
      </c>
      <c r="K6" s="8">
        <f>G6</f>
        <v>0</v>
      </c>
    </row>
    <row r="7" spans="1:11" x14ac:dyDescent="0.2">
      <c r="A7" s="7">
        <f>'1k_wr_test.csv'!B5</f>
        <v>400</v>
      </c>
      <c r="B7" s="7">
        <f>'1k_wr_test.csv'!J5</f>
        <v>2543.8000000000002</v>
      </c>
      <c r="C7" s="7">
        <f>'1k_wr_test.csv'!S5</f>
        <v>3868.8</v>
      </c>
      <c r="D7" s="7">
        <f>'1k_wr_test.csv'!L5</f>
        <v>4882.7</v>
      </c>
      <c r="E7" s="7">
        <f>'1k_wr_test.csv'!U5</f>
        <v>5205.6000000000004</v>
      </c>
      <c r="F7" s="8">
        <f>'1k_wr_test.csv'!H5</f>
        <v>0</v>
      </c>
      <c r="G7" s="8">
        <f>'1k_wr_test.csv'!R5</f>
        <v>0</v>
      </c>
      <c r="I7" s="7">
        <f>A7</f>
        <v>400</v>
      </c>
      <c r="J7" s="8">
        <f>F7</f>
        <v>0</v>
      </c>
      <c r="K7" s="8">
        <f>G7</f>
        <v>0</v>
      </c>
    </row>
    <row r="8" spans="1:11" x14ac:dyDescent="0.2">
      <c r="A8" s="7">
        <f>'1k_wr_test.csv'!B6</f>
        <v>500</v>
      </c>
      <c r="B8" s="7">
        <f>'1k_wr_test.csv'!J6</f>
        <v>3397.7</v>
      </c>
      <c r="C8" s="7">
        <f>'1k_wr_test.csv'!S6</f>
        <v>5049.1000000000004</v>
      </c>
      <c r="D8" s="7">
        <f>'1k_wr_test.csv'!L6</f>
        <v>6539.6</v>
      </c>
      <c r="E8" s="7">
        <f>'1k_wr_test.csv'!U6</f>
        <v>6737.8</v>
      </c>
      <c r="F8" s="8">
        <f>'1k_wr_test.csv'!H6</f>
        <v>0</v>
      </c>
      <c r="G8" s="8">
        <f>'1k_wr_test.csv'!R6</f>
        <v>0</v>
      </c>
      <c r="I8" s="7">
        <f>A8</f>
        <v>500</v>
      </c>
      <c r="J8" s="8">
        <f>F8</f>
        <v>0</v>
      </c>
      <c r="K8" s="8">
        <f>G8</f>
        <v>0</v>
      </c>
    </row>
    <row r="9" spans="1:11" x14ac:dyDescent="0.2">
      <c r="A9" s="7">
        <f>'1k_wr_test.csv'!B7</f>
        <v>600</v>
      </c>
      <c r="B9" s="7">
        <f>'1k_wr_test.csv'!J7</f>
        <v>3911.1</v>
      </c>
      <c r="C9" s="7">
        <f>'1k_wr_test.csv'!S7</f>
        <v>5961.8</v>
      </c>
      <c r="D9" s="7">
        <f>'1k_wr_test.csv'!L7</f>
        <v>7307.8</v>
      </c>
      <c r="E9" s="7">
        <f>'1k_wr_test.csv'!U7</f>
        <v>7902.9</v>
      </c>
      <c r="F9" s="8">
        <f>'1k_wr_test.csv'!H7</f>
        <v>0</v>
      </c>
      <c r="G9" s="8">
        <f>'1k_wr_test.csv'!R7</f>
        <v>0</v>
      </c>
      <c r="I9" s="7">
        <f>A9</f>
        <v>600</v>
      </c>
      <c r="J9" s="8">
        <f>F9</f>
        <v>0</v>
      </c>
      <c r="K9" s="8">
        <f>G9</f>
        <v>0</v>
      </c>
    </row>
    <row r="10" spans="1:11" x14ac:dyDescent="0.2">
      <c r="A10" s="7">
        <f>'1k_wr_test.csv'!B8</f>
        <v>700</v>
      </c>
      <c r="B10" s="7">
        <f>'1k_wr_test.csv'!J8</f>
        <v>4540</v>
      </c>
      <c r="C10" s="7">
        <f>'1k_wr_test.csv'!S8</f>
        <v>7695.5</v>
      </c>
      <c r="D10" s="7">
        <f>'1k_wr_test.csv'!L8</f>
        <v>11920.4</v>
      </c>
      <c r="E10" s="7">
        <f>'1k_wr_test.csv'!U8</f>
        <v>12587.7</v>
      </c>
      <c r="F10" s="8">
        <f>'1k_wr_test.csv'!H8</f>
        <v>0</v>
      </c>
      <c r="G10" s="8">
        <f>'1k_wr_test.csv'!R8</f>
        <v>0</v>
      </c>
      <c r="I10" s="7">
        <f>A10</f>
        <v>700</v>
      </c>
      <c r="J10" s="8">
        <f>F10</f>
        <v>0</v>
      </c>
      <c r="K10" s="8">
        <f>G10</f>
        <v>0</v>
      </c>
    </row>
    <row r="11" spans="1:11" x14ac:dyDescent="0.2">
      <c r="A11" s="9">
        <f>'1k_wr_test.csv'!B9</f>
        <v>800</v>
      </c>
      <c r="B11" s="9">
        <f>'1k_wr_test.csv'!J9</f>
        <v>4886.1000000000004</v>
      </c>
      <c r="C11" s="9">
        <f>'1k_wr_test.csv'!S9</f>
        <v>6609.7</v>
      </c>
      <c r="D11" s="9">
        <f>'1k_wr_test.csv'!L9</f>
        <v>9481.7999999999993</v>
      </c>
      <c r="E11" s="9">
        <f>'1k_wr_test.csv'!U9</f>
        <v>10746.7</v>
      </c>
      <c r="F11" s="10">
        <f>'1k_wr_test.csv'!H9</f>
        <v>1</v>
      </c>
      <c r="G11" s="10">
        <f>'1k_wr_test.csv'!R9</f>
        <v>13.2</v>
      </c>
      <c r="I11" s="7">
        <f>A11</f>
        <v>800</v>
      </c>
      <c r="J11" s="8">
        <f>F11</f>
        <v>1</v>
      </c>
      <c r="K11" s="8">
        <f>G11</f>
        <v>13.2</v>
      </c>
    </row>
    <row r="12" spans="1:11" x14ac:dyDescent="0.2">
      <c r="A12" s="9">
        <f>'1k_wr_test.csv'!B10</f>
        <v>900</v>
      </c>
      <c r="B12" s="9">
        <f>'1k_wr_test.csv'!J10</f>
        <v>5012.6000000000004</v>
      </c>
      <c r="C12" s="9">
        <f>'1k_wr_test.csv'!S10</f>
        <v>5495.7</v>
      </c>
      <c r="D12" s="9">
        <f>'1k_wr_test.csv'!L10</f>
        <v>8775.7999999999993</v>
      </c>
      <c r="E12" s="9">
        <f>'1k_wr_test.csv'!U10</f>
        <v>10452.200000000001</v>
      </c>
      <c r="F12" s="10">
        <f>'1k_wr_test.csv'!H10</f>
        <v>1.5</v>
      </c>
      <c r="G12" s="10">
        <f>'1k_wr_test.csv'!R10</f>
        <v>29.8</v>
      </c>
      <c r="I12" s="7">
        <f>A12</f>
        <v>900</v>
      </c>
      <c r="J12" s="8">
        <f>F12</f>
        <v>1.5</v>
      </c>
      <c r="K12" s="8">
        <f>G12</f>
        <v>29.8</v>
      </c>
    </row>
    <row r="13" spans="1:11" x14ac:dyDescent="0.2">
      <c r="A13" s="9">
        <f>'1k_wr_test.csv'!B11</f>
        <v>1000</v>
      </c>
      <c r="B13" s="9">
        <f>'1k_wr_test.csv'!J11</f>
        <v>5070.8</v>
      </c>
      <c r="C13" s="9">
        <f>'1k_wr_test.csv'!S11</f>
        <v>4682.8</v>
      </c>
      <c r="D13" s="9">
        <f>'1k_wr_test.csv'!L11</f>
        <v>9560.5</v>
      </c>
      <c r="E13" s="9">
        <f>'1k_wr_test.csv'!U11</f>
        <v>9775.1</v>
      </c>
      <c r="F13" s="10">
        <f>'1k_wr_test.csv'!H11</f>
        <v>1.9</v>
      </c>
      <c r="G13" s="10">
        <f>'1k_wr_test.csv'!R11</f>
        <v>42.6</v>
      </c>
      <c r="I13" s="7">
        <f>A13</f>
        <v>1000</v>
      </c>
      <c r="J13" s="8">
        <f>F13</f>
        <v>1.9</v>
      </c>
      <c r="K13" s="8">
        <f>G13</f>
        <v>42.6</v>
      </c>
    </row>
    <row r="14" spans="1:11" x14ac:dyDescent="0.2">
      <c r="A14" s="1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1k_wr_test.csv</vt:lpstr>
      <vt:lpstr>Degradación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ELIAS ANDRE VERA NUNEZ</cp:lastModifiedBy>
  <dcterms:modified xsi:type="dcterms:W3CDTF">2026-06-18T20:49:11Z</dcterms:modified>
</cp:coreProperties>
</file>